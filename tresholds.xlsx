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4c0255ed6b9c45/Desktop/Diagnosis_System/"/>
    </mc:Choice>
  </mc:AlternateContent>
  <xr:revisionPtr revIDLastSave="120" documentId="11_AD4DADEC636C813AC809E4C38859613C5ADEDD89" xr6:coauthVersionLast="47" xr6:coauthVersionMax="47" xr10:uidLastSave="{E95338E5-D749-41DF-9FE2-1DB3ED44E0D8}"/>
  <bookViews>
    <workbookView xWindow="-23148" yWindow="-108" windowWidth="23256" windowHeight="1389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B8" i="1"/>
  <c r="D6" i="1"/>
  <c r="D8" i="1"/>
  <c r="H3" i="1"/>
  <c r="D7" i="1"/>
  <c r="C8" i="1"/>
  <c r="C9" i="1"/>
  <c r="C7" i="1"/>
  <c r="C6" i="1"/>
  <c r="E6" i="1"/>
  <c r="E7" i="1"/>
  <c r="E9" i="1"/>
  <c r="B9" i="1"/>
  <c r="B7" i="1"/>
  <c r="B6" i="1"/>
</calcChain>
</file>

<file path=xl/sharedStrings.xml><?xml version="1.0" encoding="utf-8"?>
<sst xmlns="http://schemas.openxmlformats.org/spreadsheetml/2006/main" count="19" uniqueCount="19">
  <si>
    <t>MSO 0</t>
  </si>
  <si>
    <t>MSO 1</t>
  </si>
  <si>
    <t>MSO 10</t>
  </si>
  <si>
    <t>WAF</t>
  </si>
  <si>
    <t>wartość średnia</t>
  </si>
  <si>
    <t>odchylenie std</t>
  </si>
  <si>
    <t>Sigma + odch std</t>
  </si>
  <si>
    <t>Sigma +2  odch std</t>
  </si>
  <si>
    <t>Sigma +3 odch std</t>
  </si>
  <si>
    <t>STATYSTYKA</t>
  </si>
  <si>
    <t>PAPER</t>
  </si>
  <si>
    <t>Finetuning</t>
  </si>
  <si>
    <t>Finetuning 23.02</t>
  </si>
  <si>
    <t>algorytm</t>
  </si>
  <si>
    <t>2801.1176</t>
  </si>
  <si>
    <t>1523.1193</t>
  </si>
  <si>
    <t>0.0002</t>
  </si>
  <si>
    <t>0.0001</t>
  </si>
  <si>
    <t>najlepsze wyniki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</si>
</sst>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J29" sqref="J29"/>
    </sheetView>
  </sheetViews>
  <sheetFormatPr defaultRowHeight="14.4" x14ac:dyDescent="0.3"/>
  <cols>
    <col min="1" max="1" width="17.88671875" customWidth="1"/>
    <col min="2" max="2" width="10" bestFit="1" customWidth="1"/>
    <col min="3" max="3" width="11" bestFit="1" customWidth="1"/>
    <col min="4" max="4" width="12.109375" customWidth="1"/>
    <col min="5" max="5" width="12" bestFit="1" customWidth="1"/>
    <col min="8" max="8" width="11.33203125" bestFit="1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</row>
    <row r="2" spans="1:8" x14ac:dyDescent="0.3">
      <c r="A2" t="s">
        <v>9</v>
      </c>
    </row>
    <row r="3" spans="1:8" x14ac:dyDescent="0.3">
      <c r="A3" t="s">
        <v>4</v>
      </c>
      <c r="B3">
        <v>1496.7</v>
      </c>
      <c r="C3">
        <v>1044.33</v>
      </c>
      <c r="D3">
        <v>4.5000000000000003E-5</v>
      </c>
      <c r="E3">
        <v>4.6999999999999997E-5</v>
      </c>
      <c r="H3">
        <f>D3*0.95</f>
        <v>4.2750000000000002E-5</v>
      </c>
    </row>
    <row r="4" spans="1:8" x14ac:dyDescent="0.3">
      <c r="A4" t="s">
        <v>5</v>
      </c>
      <c r="B4">
        <v>1260.8499999999999</v>
      </c>
      <c r="C4">
        <v>682.97</v>
      </c>
      <c r="D4">
        <v>2.1999999999999999E-5</v>
      </c>
      <c r="E4">
        <v>2.5999999999999998E-5</v>
      </c>
    </row>
    <row r="6" spans="1:8" x14ac:dyDescent="0.3">
      <c r="A6" t="s">
        <v>6</v>
      </c>
      <c r="B6">
        <f>B3+B4</f>
        <v>2757.55</v>
      </c>
      <c r="C6">
        <f t="shared" ref="C6:E6" si="0">C3+C4</f>
        <v>1727.3</v>
      </c>
      <c r="D6">
        <f>D3+D4</f>
        <v>6.7000000000000002E-5</v>
      </c>
      <c r="E6">
        <f t="shared" si="0"/>
        <v>7.2999999999999999E-5</v>
      </c>
    </row>
    <row r="7" spans="1:8" x14ac:dyDescent="0.3">
      <c r="A7" t="s">
        <v>7</v>
      </c>
      <c r="B7">
        <f>B3+2*B4</f>
        <v>4018.3999999999996</v>
      </c>
      <c r="C7">
        <f>C3+2*C4</f>
        <v>2410.27</v>
      </c>
      <c r="D7">
        <f>D3+2*D4</f>
        <v>8.8999999999999995E-5</v>
      </c>
      <c r="E7">
        <f>E3+2*E4</f>
        <v>9.8999999999999994E-5</v>
      </c>
    </row>
    <row r="8" spans="1:8" x14ac:dyDescent="0.3">
      <c r="B8">
        <f>B3+1.28*B4</f>
        <v>3110.5879999999997</v>
      </c>
      <c r="C8">
        <f>C3+2.75*C4</f>
        <v>2922.4974999999999</v>
      </c>
      <c r="D8">
        <f>D3</f>
        <v>4.5000000000000003E-5</v>
      </c>
      <c r="E8">
        <f>E3+0.9*E4</f>
        <v>7.0400000000000004E-5</v>
      </c>
    </row>
    <row r="9" spans="1:8" x14ac:dyDescent="0.3">
      <c r="A9" t="s">
        <v>8</v>
      </c>
      <c r="B9">
        <f>B3+3*B4</f>
        <v>5279.25</v>
      </c>
      <c r="C9">
        <f>C3+3*C4</f>
        <v>3093.24</v>
      </c>
      <c r="D9">
        <v>0</v>
      </c>
      <c r="E9">
        <f>E3+3*E4</f>
        <v>1.25E-4</v>
      </c>
    </row>
    <row r="12" spans="1:8" x14ac:dyDescent="0.3">
      <c r="A12" t="s">
        <v>10</v>
      </c>
    </row>
    <row r="13" spans="1:8" x14ac:dyDescent="0.3">
      <c r="B13" s="1">
        <v>1885.31</v>
      </c>
      <c r="C13" s="1">
        <v>1397.85</v>
      </c>
      <c r="D13" s="1">
        <v>9.0000000000000006E-5</v>
      </c>
      <c r="E13" s="1">
        <v>6.0000000000000002E-5</v>
      </c>
    </row>
    <row r="18" spans="1:7" x14ac:dyDescent="0.3">
      <c r="A18" t="s">
        <v>11</v>
      </c>
    </row>
    <row r="19" spans="1:7" x14ac:dyDescent="0.3">
      <c r="E19" s="2">
        <v>5.0000000000000002E-5</v>
      </c>
    </row>
    <row r="22" spans="1:7" x14ac:dyDescent="0.3">
      <c r="A22" t="s">
        <v>12</v>
      </c>
    </row>
    <row r="23" spans="1:7" x14ac:dyDescent="0.3">
      <c r="E23">
        <v>6.9999999999999994E-5</v>
      </c>
    </row>
    <row r="25" spans="1:7" x14ac:dyDescent="0.3">
      <c r="A25" t="s">
        <v>13</v>
      </c>
    </row>
    <row r="26" spans="1:7" x14ac:dyDescent="0.3">
      <c r="B26" t="s">
        <v>14</v>
      </c>
      <c r="C26" t="s">
        <v>15</v>
      </c>
      <c r="D26" t="s">
        <v>16</v>
      </c>
      <c r="E26" t="s">
        <v>17</v>
      </c>
      <c r="G26" t="s">
        <v>18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Rogowski</dc:creator>
  <cp:lastModifiedBy>Antoni Rogowski</cp:lastModifiedBy>
  <dcterms:created xsi:type="dcterms:W3CDTF">2015-06-05T18:19:34Z</dcterms:created>
  <dcterms:modified xsi:type="dcterms:W3CDTF">2026-03-24T10:23:42Z</dcterms:modified>
</cp:coreProperties>
</file>